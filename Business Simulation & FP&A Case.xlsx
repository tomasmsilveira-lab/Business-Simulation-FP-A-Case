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phdisegutl-my.sharepoint.com/personal/l62150_aln_iseg_ulisboa_pt/Documents/Documents/Personal/Projects/"/>
    </mc:Choice>
  </mc:AlternateContent>
  <xr:revisionPtr revIDLastSave="147" documentId="8_{5ECBB159-A816-4F88-9394-C5084BCFBB2A}" xr6:coauthVersionLast="47" xr6:coauthVersionMax="47" xr10:uidLastSave="{059C0585-EAF8-4FC2-A525-A2B5ECA16F78}"/>
  <bookViews>
    <workbookView xWindow="-120" yWindow="-120" windowWidth="20730" windowHeight="11040" activeTab="4" xr2:uid="{BB1E6701-8FCD-4FA9-A9F5-ACA7B30390CA}"/>
  </bookViews>
  <sheets>
    <sheet name="Strategies" sheetId="1" r:id="rId1"/>
    <sheet name="Assumptions" sheetId="2" r:id="rId2"/>
    <sheet name="Model" sheetId="3" r:id="rId3"/>
    <sheet name="KPI Dashboard" sheetId="4" r:id="rId4"/>
    <sheet name="Final Repor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 i="2" l="1"/>
  <c r="B14" i="2"/>
  <c r="B21" i="3" s="1"/>
  <c r="B4" i="2"/>
  <c r="B5" i="2"/>
  <c r="B6" i="2"/>
  <c r="B3" i="2"/>
  <c r="B7" i="2"/>
  <c r="B8" i="2"/>
  <c r="B9" i="2"/>
  <c r="B10" i="2"/>
  <c r="B11" i="2"/>
  <c r="B13" i="2"/>
  <c r="B2" i="2"/>
  <c r="B2" i="3" s="1"/>
  <c r="B19" i="3" l="1"/>
  <c r="B13" i="3" s="1"/>
  <c r="B8" i="3"/>
  <c r="C2" i="3"/>
  <c r="B9" i="3"/>
  <c r="B4" i="3"/>
  <c r="B5" i="3" s="1"/>
  <c r="B7" i="3"/>
  <c r="B10" i="3" l="1"/>
  <c r="B11" i="3" s="1"/>
  <c r="D2" i="3"/>
  <c r="C19" i="3"/>
  <c r="C13" i="3" s="1"/>
  <c r="C8" i="3"/>
  <c r="C9" i="3"/>
  <c r="C4" i="3"/>
  <c r="C5" i="3" s="1"/>
  <c r="C7" i="3"/>
  <c r="B14" i="3" l="1"/>
  <c r="B16" i="3"/>
  <c r="B17" i="3" s="1"/>
  <c r="E2" i="3"/>
  <c r="D9" i="3"/>
  <c r="D4" i="3"/>
  <c r="D5" i="3" s="1"/>
  <c r="D7" i="3"/>
  <c r="D19" i="3"/>
  <c r="D13" i="3" s="1"/>
  <c r="D8" i="3"/>
  <c r="C10" i="3"/>
  <c r="C11" i="3" s="1"/>
  <c r="F2" i="3" l="1"/>
  <c r="C14" i="3"/>
  <c r="C16" i="3" s="1"/>
  <c r="C17" i="3" s="1"/>
  <c r="C20" i="3" s="1"/>
  <c r="B20" i="3"/>
  <c r="B22" i="3" s="1"/>
  <c r="C21" i="3" s="1"/>
  <c r="E19" i="3"/>
  <c r="E13" i="3" s="1"/>
  <c r="E8" i="3"/>
  <c r="E7" i="3"/>
  <c r="E9" i="3"/>
  <c r="E4" i="3"/>
  <c r="E5" i="3" s="1"/>
  <c r="D10" i="3"/>
  <c r="D11" i="3" s="1"/>
  <c r="D14" i="3" l="1"/>
  <c r="G2" i="3"/>
  <c r="C22" i="3"/>
  <c r="D21" i="3" s="1"/>
  <c r="D16" i="3"/>
  <c r="D17" i="3" s="1"/>
  <c r="D20" i="3" s="1"/>
  <c r="D22" i="3" s="1"/>
  <c r="E21" i="3" s="1"/>
  <c r="E10" i="3"/>
  <c r="E11" i="3" s="1"/>
  <c r="F7" i="3"/>
  <c r="F4" i="3"/>
  <c r="F5" i="3" s="1"/>
  <c r="F19" i="3"/>
  <c r="F13" i="3" s="1"/>
  <c r="F8" i="3"/>
  <c r="F9" i="3"/>
  <c r="G19" i="3" l="1"/>
  <c r="G13" i="3" s="1"/>
  <c r="G4" i="3"/>
  <c r="G5" i="3" s="1"/>
  <c r="G7" i="3"/>
  <c r="G9" i="3"/>
  <c r="H2" i="3"/>
  <c r="G8" i="3"/>
  <c r="E14" i="3"/>
  <c r="E16" i="3" s="1"/>
  <c r="E17" i="3" s="1"/>
  <c r="E20" i="3" s="1"/>
  <c r="E22" i="3" s="1"/>
  <c r="F21" i="3" s="1"/>
  <c r="F10" i="3"/>
  <c r="F11" i="3" s="1"/>
  <c r="G10" i="3" l="1"/>
  <c r="G11" i="3" s="1"/>
  <c r="G14" i="3" s="1"/>
  <c r="G16" i="3" s="1"/>
  <c r="G17" i="3" s="1"/>
  <c r="G20" i="3" s="1"/>
  <c r="F14" i="3"/>
  <c r="F16" i="3" s="1"/>
  <c r="F17" i="3" s="1"/>
  <c r="F20" i="3" s="1"/>
  <c r="F22" i="3" s="1"/>
  <c r="G21" i="3" s="1"/>
  <c r="H19" i="3"/>
  <c r="H13" i="3" s="1"/>
  <c r="H9" i="3"/>
  <c r="H4" i="3"/>
  <c r="H5" i="3" s="1"/>
  <c r="I2" i="3"/>
  <c r="H7" i="3"/>
  <c r="H8" i="3"/>
  <c r="G22" i="3" l="1"/>
  <c r="H21" i="3" s="1"/>
  <c r="H10" i="3"/>
  <c r="H11" i="3" s="1"/>
  <c r="I19" i="3"/>
  <c r="I13" i="3" s="1"/>
  <c r="I4" i="3"/>
  <c r="I5" i="3" s="1"/>
  <c r="I8" i="3"/>
  <c r="I7" i="3"/>
  <c r="I9" i="3"/>
  <c r="J2" i="3"/>
  <c r="I10" i="3" l="1"/>
  <c r="I11" i="3" s="1"/>
  <c r="J19" i="3"/>
  <c r="J13" i="3" s="1"/>
  <c r="J4" i="3"/>
  <c r="J5" i="3" s="1"/>
  <c r="J8" i="3"/>
  <c r="J9" i="3"/>
  <c r="J7" i="3"/>
  <c r="K2" i="3"/>
  <c r="H14" i="3"/>
  <c r="H16" i="3" s="1"/>
  <c r="H17" i="3" s="1"/>
  <c r="H20" i="3" s="1"/>
  <c r="H22" i="3" s="1"/>
  <c r="I21" i="3" s="1"/>
  <c r="J10" i="3" l="1"/>
  <c r="J11" i="3" s="1"/>
  <c r="K19" i="3"/>
  <c r="K13" i="3" s="1"/>
  <c r="K4" i="3"/>
  <c r="K5" i="3" s="1"/>
  <c r="K7" i="3"/>
  <c r="K8" i="3"/>
  <c r="K9" i="3"/>
  <c r="I14" i="3"/>
  <c r="I16" i="3" s="1"/>
  <c r="I17" i="3" s="1"/>
  <c r="I20" i="3" s="1"/>
  <c r="I22" i="3" s="1"/>
  <c r="J21" i="3" s="1"/>
  <c r="K10" i="3" l="1"/>
  <c r="K11" i="3" s="1"/>
  <c r="J14" i="3"/>
  <c r="J16" i="3" s="1"/>
  <c r="J17" i="3" s="1"/>
  <c r="J20" i="3" s="1"/>
  <c r="J22" i="3" s="1"/>
  <c r="K21" i="3" s="1"/>
  <c r="K14" i="3" l="1"/>
  <c r="K16" i="3" s="1"/>
  <c r="K17" i="3" s="1"/>
  <c r="K20" i="3" s="1"/>
  <c r="K22" i="3" l="1"/>
</calcChain>
</file>

<file path=xl/sharedStrings.xml><?xml version="1.0" encoding="utf-8"?>
<sst xmlns="http://schemas.openxmlformats.org/spreadsheetml/2006/main" count="95" uniqueCount="80">
  <si>
    <t>Conservative</t>
  </si>
  <si>
    <t>Strategy</t>
  </si>
  <si>
    <t>Growth</t>
  </si>
  <si>
    <t>Starting Revenue</t>
  </si>
  <si>
    <t>Gross Margin (%)</t>
  </si>
  <si>
    <t>Marketing as % of revenue</t>
  </si>
  <si>
    <t>Staff costs as % of revenue</t>
  </si>
  <si>
    <t>Other opex as % of revenue</t>
  </si>
  <si>
    <t>Tax rate %</t>
  </si>
  <si>
    <t>Strategy Selector</t>
  </si>
  <si>
    <t>Revenue Growth Rate Year 2</t>
  </si>
  <si>
    <t>Revenue Growth Rate Year 3</t>
  </si>
  <si>
    <t>Revenue Growth Rate Year 4</t>
  </si>
  <si>
    <t>Revenue Growth Rate Year 5</t>
  </si>
  <si>
    <t>Years</t>
  </si>
  <si>
    <t>Revenue</t>
  </si>
  <si>
    <t>COGS</t>
  </si>
  <si>
    <t>Gross profit</t>
  </si>
  <si>
    <t>Marketing expense</t>
  </si>
  <si>
    <t>Staff costs</t>
  </si>
  <si>
    <t>Other opex</t>
  </si>
  <si>
    <t>Total opex</t>
  </si>
  <si>
    <t>EBITDA</t>
  </si>
  <si>
    <t>Depreciation</t>
  </si>
  <si>
    <t>EBIT</t>
  </si>
  <si>
    <t>Tax</t>
  </si>
  <si>
    <t>Net income</t>
  </si>
  <si>
    <t>Capex</t>
  </si>
  <si>
    <t>Free cash flow</t>
  </si>
  <si>
    <t>Opening cash</t>
  </si>
  <si>
    <t>Closing cash</t>
  </si>
  <si>
    <t>Opening Cash</t>
  </si>
  <si>
    <t>Revenue Growth Rate Year 5 Onwards</t>
  </si>
  <si>
    <t>Capex as % of revenue (First 5 years)</t>
  </si>
  <si>
    <t>Capex as % of revenue (After 5 years)</t>
  </si>
  <si>
    <t>Introduction and objective</t>
  </si>
  <si>
    <t>This project develops a 10‑year financial model for a hypothetical company starting with 1,000,000 € of revenue and 200,000 € of opening cash. The objective is to compare a conservative and a growth‑oriented strategy and assess whether the additional risk associated with a more aggressive growth path is compensated by higher long‑term earnings and value creation.</t>
  </si>
  <si>
    <t>The model is built in Excel with a structured assumptions sheet, two alternative strategic parameter sets, and a linked financial model producing income statement metrics, free cash flow, and cash balances over time.</t>
  </si>
  <si>
    <t>Strategy design and assumptions</t>
  </si>
  <si>
    <t>Both strategies share the same starting point (1,000,000 € revenue, 200,000 € cash, 20% tax rate) but differ in growth, profitability, and reinvestment intensity. The table below summarizes the main assumptions.</t>
  </si>
  <si>
    <t>The conservative strategy assumes moderate revenue growth (5–6% per year) with a 38% gross margin and disciplined spending on marketing (5% of revenue), staff (15%), and capital expenditure (5% of revenue in the first five years, then 3%). The growth strategy targets much higher revenue growth (12–25%), combined with a slightly higher 40% gross margin but also structurally higher operating and capital intensity through increased marketing, staff costs, and capex ratios.</t>
  </si>
  <si>
    <t>Financial results</t>
  </si>
  <si>
    <t>Under the conservative scenario, revenue grows steadily from 1,000,000 € in year 1 to approximately 1.58 million € in year 10. Gross profit increases in line with revenue, supported by the stable 38% gross margin. Operating expenses (marketing, staff, and other opex) also rise gradually, but EBITDA remains positive and growing throughout the period.</t>
  </si>
  <si>
    <t>Net income under the conservative strategy increases from 72,000 € in year 1 to about 118,900 € by year 10. Free cash flow is positive in every year, starting at 32,000 € and reaching around 80,900 € in year 10, reflecting both operational profitability and a moderate capex burden. As a result, closing cash improves from 200,000 € at the start of the period to approximately 746,600 € at the end, indicating a strong liquidity position and no need for external financing.</t>
  </si>
  <si>
    <t>In the growth scenario, revenue growth rates between 12% and 25% lead to significantly higher revenue levels over the 10‑year horizon compared with the conservative path (based on the same 1,000,000 € starting revenue). The higher 40% gross margin further supports gross profit expansion, but this is partially offset by higher marketing (8% of revenue), staff (18%), and capex ratios.</t>
  </si>
  <si>
    <t>Because of the larger scale and slightly better margin structure, net income under the growth strategy eventually exceeds the conservative scenario in later years, meaning the business becomes more profitable in accounting terms over the long run. However, the combination of higher operating expenses and capex reduces free cash flow and results in a lower cash accumulation than in the conservative strategy over the modeled 10‑year period, implying a tighter liquidity profile.</t>
  </si>
  <si>
    <t>Metric (10 years)</t>
  </si>
  <si>
    <t>Year 10 revenue</t>
  </si>
  <si>
    <t>≈ 1.58m €</t>
  </si>
  <si>
    <t>Year 10 net income</t>
  </si>
  <si>
    <t>≈ 118.9k €</t>
  </si>
  <si>
    <t>Cumulative free cash flow</t>
  </si>
  <si>
    <t>Year 10 closing cash</t>
  </si>
  <si>
    <t>≈ 746.6k €</t>
  </si>
  <si>
    <t>External financing need</t>
  </si>
  <si>
    <t>Not required in the model</t>
  </si>
  <si>
    <t>The conservative strategy clearly dominates on cash generation and liquidity within the 10‑year window, while the growth strategy delivers higher long‑term earnings and scale at the expense of tighter cash flows.</t>
  </si>
  <si>
    <t xml:space="preserve">    Conservative strategy</t>
  </si>
  <si>
    <t xml:space="preserve">     Growth strategy</t>
  </si>
  <si>
    <t xml:space="preserve">     Summary comparison</t>
  </si>
  <si>
    <t>The table on the right summarizes the qualitative differences over the 10‑year horizon (growth values filled from the growth sheet).</t>
  </si>
  <si>
    <t>Risk–return assessment</t>
  </si>
  <si>
    <t>The conservative strategy generates positive free cash flow in every period and steadily builds a sizeable cash buffer, reducing the probability of a liquidity shortfall. This makes the company resilient to revenue shocks or cost overruns and allows it to remain self‑funded without resorting to debt or equity raises under the modeled assumptions.</t>
  </si>
  <si>
    <t>By contrast, the growth strategy operates with lower cash accumulation because higher marketing, staff, and investment requirements consume more of the operating cash flow. Although the model as built may still show positive free cash flow overall, the margin of safety is smaller, which increases the risk that a shortfall in revenue growth could force the firm to seek external financing. In practice, this exposes shareholders to dilution risk and the firm to potential refinancing or covenant risk.</t>
  </si>
  <si>
    <t>Aggressive top‑line growth assumptions (up to 25% annually from year 5 onwards) raise execution risk. Achieving this trajectory requires strong market demand, successful commercial execution, and the ability to integrate rapid headcount growth without productivity losses. If actual growth trails the plan, the higher fixed cost base (particularly staff and marketing) could pressure margins and delay the break‑even of incremental investments.</t>
  </si>
  <si>
    <t>The conservative strategy, with more modest growth expectations and lower fixed cost intensity, is less sensitive to execution shortfalls. Even if revenue growth underperforms the plan, the impact on the firm’s solvency is more limited because operating leverage and capex commitments are lower.</t>
  </si>
  <si>
    <t>The growth strategy offers greater upside in terms of long‑term earnings and enterprise scale: larger revenues and higher net income in later years justify a higher potential valuation if growth is achieved. The conservative strategy produces smaller but more predictable earnings and a stronger cash position, which may appeal to investors who prioritize capital preservation and self‑funded growth.</t>
  </si>
  <si>
    <t>An important nuance is the time horizon. Over the 10‑year modeling period, the conservative strategy “wins” on cumulative free cash flow and liquidity, while the growth strategy only partially realizes its potential, since the benefits of a larger installed base and brand may continue beyond year 10. From a strictly cash‑flow‑based perspective within this horizon, the extra risk of the growth path yields higher net income but not clearly superior cash generation; the full upside would likely materialize over a longer period.</t>
  </si>
  <si>
    <t>The analysis highlights a classic trade‑off between a conservative, self‑funded growth path and a more aggressive strategy that prioritizes scale and long‑term earnings. The conservative strategy delivers stable free cash flow, steadily increasing net income, and a robust cash position, leading to low liquidity and financing risk. The growth strategy, in contrast, increases both business and financial risk through higher operating leverage and investment needs but offers higher long‑term net income and a larger business footprint if its ambitious growth assumptions are met.</t>
  </si>
  <si>
    <t>Rather than identifying a single “optimal” strategy, the comparison shows how different risk preferences and financing constraints can rationally lead to different strategic choices, even from the same starting point. Investors with a low risk tolerance or limited access to external capital would likely favor the conservative strategy, while those willing to accept higher short‑term volatility and funding risk in exchange for greater long‑run earnings potential might find the growth strategy attractive.</t>
  </si>
  <si>
    <t xml:space="preserve">     Liquidity and financing risk</t>
  </si>
  <si>
    <t xml:space="preserve">     Execution and business risk</t>
  </si>
  <si>
    <t xml:space="preserve">     Return potential and time horizon</t>
  </si>
  <si>
    <t>Conclusion</t>
  </si>
  <si>
    <t>Might be required</t>
  </si>
  <si>
    <t>≈ 81k €</t>
  </si>
  <si>
    <t>≈ 162.5k €</t>
  </si>
  <si>
    <t>≈ 28k €</t>
  </si>
  <si>
    <t>≈ 236.5k €</t>
  </si>
  <si>
    <t>≈ 5.8m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</si>
</sst>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
  </numFmts>
  <fonts count="5" x14ac:knownFonts="1">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sz val="11"/>
      <color theme="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2"/>
        <bgColor indexed="64"/>
      </patternFill>
    </fill>
  </fills>
  <borders count="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0" fillId="0" borderId="0" xfId="0" applyAlignment="1">
      <alignment horizontal="center"/>
    </xf>
    <xf numFmtId="9" fontId="0" fillId="0" borderId="0" xfId="2" applyFont="1"/>
    <xf numFmtId="44" fontId="0" fillId="0" borderId="0" xfId="0" applyNumberFormat="1"/>
    <xf numFmtId="0" fontId="0" fillId="2" borderId="0" xfId="0" applyFill="1" applyAlignment="1">
      <alignment horizontal="center"/>
    </xf>
    <xf numFmtId="0" fontId="0" fillId="2" borderId="0" xfId="0" applyFill="1"/>
    <xf numFmtId="44" fontId="0" fillId="2" borderId="0" xfId="0" applyNumberFormat="1" applyFill="1"/>
    <xf numFmtId="0" fontId="2" fillId="2" borderId="0" xfId="0" applyFont="1" applyFill="1" applyAlignment="1">
      <alignment horizontal="center"/>
    </xf>
    <xf numFmtId="0" fontId="2" fillId="2" borderId="0" xfId="0" applyFont="1" applyFill="1"/>
    <xf numFmtId="44" fontId="0" fillId="3" borderId="0" xfId="1" applyFont="1" applyFill="1"/>
    <xf numFmtId="9" fontId="0" fillId="3" borderId="0" xfId="2" applyFont="1" applyFill="1"/>
    <xf numFmtId="164" fontId="0" fillId="3" borderId="0" xfId="2" applyNumberFormat="1" applyFont="1" applyFill="1"/>
    <xf numFmtId="44" fontId="0" fillId="3" borderId="0" xfId="0" applyNumberFormat="1" applyFill="1"/>
    <xf numFmtId="0" fontId="0" fillId="0" borderId="0" xfId="0" applyAlignment="1">
      <alignment wrapText="1"/>
    </xf>
    <xf numFmtId="0" fontId="0" fillId="2" borderId="0" xfId="0" applyFill="1" applyAlignment="1">
      <alignment wrapText="1"/>
    </xf>
    <xf numFmtId="0" fontId="4" fillId="2" borderId="0" xfId="0" applyFont="1" applyFill="1"/>
    <xf numFmtId="0" fontId="0" fillId="3" borderId="1" xfId="0" applyFill="1" applyBorder="1"/>
    <xf numFmtId="0" fontId="0" fillId="3" borderId="0"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4" borderId="0" xfId="0" applyFill="1" applyAlignment="1">
      <alignment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Net Income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val>
            <c:numRef>
              <c:f>Model!$B$17:$K$17</c:f>
              <c:numCache>
                <c:formatCode>_("€"* #,##0.00_);_("€"* \(#,##0.00\);_("€"* "-"??_);_(@_)</c:formatCode>
                <c:ptCount val="10"/>
                <c:pt idx="0">
                  <c:v>36800</c:v>
                </c:pt>
                <c:pt idx="1">
                  <c:v>41216</c:v>
                </c:pt>
                <c:pt idx="2">
                  <c:v>47398.400000000001</c:v>
                </c:pt>
                <c:pt idx="3">
                  <c:v>55930.111999999965</c:v>
                </c:pt>
                <c:pt idx="4">
                  <c:v>69912.639999999999</c:v>
                </c:pt>
                <c:pt idx="5">
                  <c:v>96889.8</c:v>
                </c:pt>
                <c:pt idx="6">
                  <c:v>121112.25</c:v>
                </c:pt>
                <c:pt idx="7">
                  <c:v>151390.3125</c:v>
                </c:pt>
                <c:pt idx="8">
                  <c:v>189237.890625</c:v>
                </c:pt>
                <c:pt idx="9">
                  <c:v>236547.36328125</c:v>
                </c:pt>
              </c:numCache>
            </c:numRef>
          </c:val>
          <c:smooth val="0"/>
          <c:extLst>
            <c:ext xmlns:c16="http://schemas.microsoft.com/office/drawing/2014/chart" uri="{C3380CC4-5D6E-409C-BE32-E72D297353CC}">
              <c16:uniqueId val="{00000000-242E-4A62-9798-5DF635F62F3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146816784"/>
        <c:axId val="1146818448"/>
      </c:lineChart>
      <c:catAx>
        <c:axId val="1146816784"/>
        <c:scaling>
          <c:orientation val="minMax"/>
        </c:scaling>
        <c:delete val="0"/>
        <c:axPos val="b"/>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46818448"/>
        <c:crosses val="autoZero"/>
        <c:auto val="1"/>
        <c:lblAlgn val="ctr"/>
        <c:lblOffset val="100"/>
        <c:noMultiLvlLbl val="0"/>
      </c:catAx>
      <c:valAx>
        <c:axId val="114681844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681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Free Cash Flow</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val>
            <c:numRef>
              <c:f>Model!$B$20:$K$20</c:f>
              <c:numCache>
                <c:formatCode>_("€"* #,##0.00_);_("€"* \(#,##0.00\);_("€"* "-"??_);_(@_)</c:formatCode>
                <c:ptCount val="10"/>
                <c:pt idx="0">
                  <c:v>-19200</c:v>
                </c:pt>
                <c:pt idx="1">
                  <c:v>-21504.000000000015</c:v>
                </c:pt>
                <c:pt idx="2">
                  <c:v>-24729.600000000006</c:v>
                </c:pt>
                <c:pt idx="3">
                  <c:v>-29180.928000000029</c:v>
                </c:pt>
                <c:pt idx="4">
                  <c:v>-36476.160000000003</c:v>
                </c:pt>
                <c:pt idx="5">
                  <c:v>11398.800000000003</c:v>
                </c:pt>
                <c:pt idx="6">
                  <c:v>14248.5</c:v>
                </c:pt>
                <c:pt idx="7">
                  <c:v>17810.625</c:v>
                </c:pt>
                <c:pt idx="8">
                  <c:v>22263.28125</c:v>
                </c:pt>
                <c:pt idx="9">
                  <c:v>27829.1015625</c:v>
                </c:pt>
              </c:numCache>
            </c:numRef>
          </c:val>
          <c:smooth val="0"/>
          <c:extLst>
            <c:ext xmlns:c16="http://schemas.microsoft.com/office/drawing/2014/chart" uri="{C3380CC4-5D6E-409C-BE32-E72D297353CC}">
              <c16:uniqueId val="{00000000-DDA5-4C21-97E6-01B99E2FE465}"/>
            </c:ext>
          </c:extLst>
        </c:ser>
        <c:dLbls>
          <c:showLegendKey val="0"/>
          <c:showVal val="0"/>
          <c:showCatName val="0"/>
          <c:showSerName val="0"/>
          <c:showPercent val="0"/>
          <c:showBubbleSize val="0"/>
        </c:dLbls>
        <c:smooth val="0"/>
        <c:axId val="915785408"/>
        <c:axId val="915789152"/>
      </c:lineChart>
      <c:catAx>
        <c:axId val="91578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5789152"/>
        <c:crosses val="autoZero"/>
        <c:auto val="1"/>
        <c:lblAlgn val="ctr"/>
        <c:lblOffset val="100"/>
        <c:noMultiLvlLbl val="0"/>
      </c:catAx>
      <c:valAx>
        <c:axId val="9157891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578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a:t>Closing Cash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val>
            <c:numRef>
              <c:f>Model!$B$22:$K$22</c:f>
              <c:numCache>
                <c:formatCode>_("€"* #,##0.00_);_("€"* \(#,##0.00\);_("€"* "-"??_);_(@_)</c:formatCode>
                <c:ptCount val="10"/>
                <c:pt idx="0">
                  <c:v>180800</c:v>
                </c:pt>
                <c:pt idx="1">
                  <c:v>159296</c:v>
                </c:pt>
                <c:pt idx="2">
                  <c:v>134566.39999999999</c:v>
                </c:pt>
                <c:pt idx="3">
                  <c:v>105385.47199999997</c:v>
                </c:pt>
                <c:pt idx="4">
                  <c:v>68909.311999999962</c:v>
                </c:pt>
                <c:pt idx="5">
                  <c:v>80308.111999999965</c:v>
                </c:pt>
                <c:pt idx="6">
                  <c:v>94556.611999999965</c:v>
                </c:pt>
                <c:pt idx="7">
                  <c:v>112367.23699999996</c:v>
                </c:pt>
                <c:pt idx="8">
                  <c:v>134630.51824999996</c:v>
                </c:pt>
                <c:pt idx="9">
                  <c:v>162459.61981249996</c:v>
                </c:pt>
              </c:numCache>
            </c:numRef>
          </c:val>
          <c:smooth val="0"/>
          <c:extLst>
            <c:ext xmlns:c16="http://schemas.microsoft.com/office/drawing/2014/chart" uri="{C3380CC4-5D6E-409C-BE32-E72D297353CC}">
              <c16:uniqueId val="{00000000-74BB-43A1-9208-643890B86D4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917640192"/>
        <c:axId val="917640608"/>
      </c:lineChart>
      <c:catAx>
        <c:axId val="917640192"/>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17640608"/>
        <c:crosses val="autoZero"/>
        <c:auto val="1"/>
        <c:lblAlgn val="ctr"/>
        <c:lblOffset val="100"/>
        <c:noMultiLvlLbl val="0"/>
      </c:catAx>
      <c:valAx>
        <c:axId val="91764060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176401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85726</xdr:rowOff>
    </xdr:from>
    <xdr:to>
      <xdr:col>3</xdr:col>
      <xdr:colOff>866775</xdr:colOff>
      <xdr:row>10</xdr:row>
      <xdr:rowOff>123825</xdr:rowOff>
    </xdr:to>
    <xdr:graphicFrame macro="">
      <xdr:nvGraphicFramePr>
        <xdr:cNvPr id="3" name="Chart 2">
          <a:extLst>
            <a:ext uri="{FF2B5EF4-FFF2-40B4-BE49-F238E27FC236}">
              <a16:creationId xmlns:a16="http://schemas.microsoft.com/office/drawing/2014/main" id="{2C58B995-78B9-40DB-BB8A-806E348FC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914399</xdr:colOff>
      <xdr:row>0</xdr:row>
      <xdr:rowOff>76199</xdr:rowOff>
    </xdr:from>
    <xdr:to>
      <xdr:col>8</xdr:col>
      <xdr:colOff>800100</xdr:colOff>
      <xdr:row>10</xdr:row>
      <xdr:rowOff>123824</xdr:rowOff>
    </xdr:to>
    <xdr:graphicFrame macro="">
      <xdr:nvGraphicFramePr>
        <xdr:cNvPr id="4" name="Chart 3">
          <a:extLst>
            <a:ext uri="{FF2B5EF4-FFF2-40B4-BE49-F238E27FC236}">
              <a16:creationId xmlns:a16="http://schemas.microsoft.com/office/drawing/2014/main" id="{7045F531-C41A-4D35-88B7-6AF802F42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828675</xdr:colOff>
      <xdr:row>0</xdr:row>
      <xdr:rowOff>76200</xdr:rowOff>
    </xdr:from>
    <xdr:to>
      <xdr:col>13</xdr:col>
      <xdr:colOff>571500</xdr:colOff>
      <xdr:row>10</xdr:row>
      <xdr:rowOff>152400</xdr:rowOff>
    </xdr:to>
    <xdr:graphicFrame macro="">
      <xdr:nvGraphicFramePr>
        <xdr:cNvPr id="5" name="Chart 4">
          <a:extLst>
            <a:ext uri="{FF2B5EF4-FFF2-40B4-BE49-F238E27FC236}">
              <a16:creationId xmlns:a16="http://schemas.microsoft.com/office/drawing/2014/main" id="{78AE8D3B-8D51-4FF3-8376-CECAF9FD1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C856-172A-4A12-A09D-E0B648B321FC}">
  <dimension ref="A1:D15"/>
  <sheetViews>
    <sheetView workbookViewId="0">
      <selection sqref="A1:D15"/>
    </sheetView>
  </sheetViews>
  <sheetFormatPr defaultRowHeight="15" x14ac:dyDescent="0.25"/>
  <cols>
    <col min="1" max="1" width="35.140625" bestFit="1" customWidth="1"/>
    <col min="2" max="3" width="14.42578125" bestFit="1" customWidth="1"/>
    <col min="4" max="4" width="2.7109375" customWidth="1"/>
  </cols>
  <sheetData>
    <row r="1" spans="1:4" x14ac:dyDescent="0.25">
      <c r="A1" s="7" t="s">
        <v>1</v>
      </c>
      <c r="B1" s="7" t="s">
        <v>0</v>
      </c>
      <c r="C1" s="7" t="s">
        <v>2</v>
      </c>
      <c r="D1" s="5"/>
    </row>
    <row r="2" spans="1:4" x14ac:dyDescent="0.25">
      <c r="A2" s="7" t="s">
        <v>3</v>
      </c>
      <c r="B2" s="9">
        <v>1000000</v>
      </c>
      <c r="C2" s="9">
        <v>1000000</v>
      </c>
      <c r="D2" s="5"/>
    </row>
    <row r="3" spans="1:4" x14ac:dyDescent="0.25">
      <c r="A3" s="7" t="s">
        <v>10</v>
      </c>
      <c r="B3" s="10">
        <v>0.05</v>
      </c>
      <c r="C3" s="10">
        <v>0.12</v>
      </c>
      <c r="D3" s="5"/>
    </row>
    <row r="4" spans="1:4" x14ac:dyDescent="0.25">
      <c r="A4" s="7" t="s">
        <v>11</v>
      </c>
      <c r="B4" s="10">
        <v>0.06</v>
      </c>
      <c r="C4" s="10">
        <v>0.15</v>
      </c>
      <c r="D4" s="5"/>
    </row>
    <row r="5" spans="1:4" x14ac:dyDescent="0.25">
      <c r="A5" s="7" t="s">
        <v>12</v>
      </c>
      <c r="B5" s="10">
        <v>0.06</v>
      </c>
      <c r="C5" s="10">
        <v>0.18</v>
      </c>
      <c r="D5" s="5"/>
    </row>
    <row r="6" spans="1:4" x14ac:dyDescent="0.25">
      <c r="A6" s="7" t="s">
        <v>32</v>
      </c>
      <c r="B6" s="10">
        <v>0.05</v>
      </c>
      <c r="C6" s="10">
        <v>0.25</v>
      </c>
      <c r="D6" s="5"/>
    </row>
    <row r="7" spans="1:4" x14ac:dyDescent="0.25">
      <c r="A7" s="7" t="s">
        <v>4</v>
      </c>
      <c r="B7" s="10">
        <v>0.38</v>
      </c>
      <c r="C7" s="10">
        <v>0.4</v>
      </c>
      <c r="D7" s="5"/>
    </row>
    <row r="8" spans="1:4" x14ac:dyDescent="0.25">
      <c r="A8" s="7" t="s">
        <v>5</v>
      </c>
      <c r="B8" s="10">
        <v>0.05</v>
      </c>
      <c r="C8" s="10">
        <v>0.08</v>
      </c>
      <c r="D8" s="5"/>
    </row>
    <row r="9" spans="1:4" x14ac:dyDescent="0.25">
      <c r="A9" s="7" t="s">
        <v>6</v>
      </c>
      <c r="B9" s="10">
        <v>0.15</v>
      </c>
      <c r="C9" s="10">
        <v>0.18</v>
      </c>
      <c r="D9" s="5"/>
    </row>
    <row r="10" spans="1:4" x14ac:dyDescent="0.25">
      <c r="A10" s="7" t="s">
        <v>7</v>
      </c>
      <c r="B10" s="10">
        <v>0.08</v>
      </c>
      <c r="C10" s="10">
        <v>0.08</v>
      </c>
      <c r="D10" s="5"/>
    </row>
    <row r="11" spans="1:4" x14ac:dyDescent="0.25">
      <c r="A11" s="7" t="s">
        <v>33</v>
      </c>
      <c r="B11" s="10">
        <v>0.05</v>
      </c>
      <c r="C11" s="10">
        <v>7.0000000000000007E-2</v>
      </c>
      <c r="D11" s="5"/>
    </row>
    <row r="12" spans="1:4" x14ac:dyDescent="0.25">
      <c r="A12" s="7" t="s">
        <v>34</v>
      </c>
      <c r="B12" s="10">
        <v>0.03</v>
      </c>
      <c r="C12" s="11">
        <v>4.4999999999999998E-2</v>
      </c>
      <c r="D12" s="5"/>
    </row>
    <row r="13" spans="1:4" x14ac:dyDescent="0.25">
      <c r="A13" s="7" t="s">
        <v>8</v>
      </c>
      <c r="B13" s="10">
        <v>0.2</v>
      </c>
      <c r="C13" s="10">
        <v>0.2</v>
      </c>
      <c r="D13" s="5"/>
    </row>
    <row r="14" spans="1:4" x14ac:dyDescent="0.25">
      <c r="A14" s="7" t="s">
        <v>31</v>
      </c>
      <c r="B14" s="9">
        <v>200000</v>
      </c>
      <c r="C14" s="9">
        <v>200000</v>
      </c>
      <c r="D14" s="5"/>
    </row>
    <row r="15" spans="1:4" x14ac:dyDescent="0.25">
      <c r="A15" s="8"/>
      <c r="B15" s="5"/>
      <c r="C15" s="5"/>
      <c r="D15" s="5"/>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96DBF-57F6-44C0-AE66-C3E76C31E108}">
  <dimension ref="A1:C15"/>
  <sheetViews>
    <sheetView workbookViewId="0">
      <selection activeCell="B1" sqref="B1"/>
    </sheetView>
  </sheetViews>
  <sheetFormatPr defaultRowHeight="15" x14ac:dyDescent="0.25"/>
  <cols>
    <col min="1" max="1" width="34.7109375" bestFit="1" customWidth="1"/>
    <col min="2" max="2" width="14.42578125" bestFit="1" customWidth="1"/>
    <col min="3" max="3" width="2.5703125" customWidth="1"/>
  </cols>
  <sheetData>
    <row r="1" spans="1:3" x14ac:dyDescent="0.25">
      <c r="A1" s="7" t="s">
        <v>9</v>
      </c>
      <c r="B1" s="7" t="s">
        <v>2</v>
      </c>
      <c r="C1" s="5"/>
    </row>
    <row r="2" spans="1:3" x14ac:dyDescent="0.25">
      <c r="A2" s="7" t="s">
        <v>3</v>
      </c>
      <c r="B2" s="9">
        <f>INDEX(Strategies!B2:C2, MATCH($B$1, Strategies!$B$1:$C$1, 0))</f>
        <v>1000000</v>
      </c>
      <c r="C2" s="5"/>
    </row>
    <row r="3" spans="1:3" x14ac:dyDescent="0.25">
      <c r="A3" s="7" t="s">
        <v>10</v>
      </c>
      <c r="B3" s="10">
        <f>INDEX(Strategies!B3:C3, MATCH($B$1, Strategies!$B$1:$C$1, 0))</f>
        <v>0.12</v>
      </c>
      <c r="C3" s="5"/>
    </row>
    <row r="4" spans="1:3" x14ac:dyDescent="0.25">
      <c r="A4" s="7" t="s">
        <v>11</v>
      </c>
      <c r="B4" s="10">
        <f>INDEX(Strategies!B4:C4, MATCH($B$1, Strategies!$B$1:$C$1, 0))</f>
        <v>0.15</v>
      </c>
      <c r="C4" s="5"/>
    </row>
    <row r="5" spans="1:3" x14ac:dyDescent="0.25">
      <c r="A5" s="7" t="s">
        <v>12</v>
      </c>
      <c r="B5" s="10">
        <f>INDEX(Strategies!B5:C5, MATCH($B$1, Strategies!$B$1:$C$1, 0))</f>
        <v>0.18</v>
      </c>
      <c r="C5" s="5"/>
    </row>
    <row r="6" spans="1:3" x14ac:dyDescent="0.25">
      <c r="A6" s="7" t="s">
        <v>13</v>
      </c>
      <c r="B6" s="10">
        <f>INDEX(Strategies!B6:C6, MATCH($B$1, Strategies!$B$1:$C$1, 0))</f>
        <v>0.25</v>
      </c>
      <c r="C6" s="5"/>
    </row>
    <row r="7" spans="1:3" x14ac:dyDescent="0.25">
      <c r="A7" s="7" t="s">
        <v>4</v>
      </c>
      <c r="B7" s="10">
        <f>INDEX(Strategies!B7:C7, MATCH($B$1, Strategies!$B$1:$C$1, 0))</f>
        <v>0.4</v>
      </c>
      <c r="C7" s="5"/>
    </row>
    <row r="8" spans="1:3" x14ac:dyDescent="0.25">
      <c r="A8" s="7" t="s">
        <v>5</v>
      </c>
      <c r="B8" s="10">
        <f>INDEX(Strategies!B8:C8, MATCH($B$1, Strategies!$B$1:$C$1, 0))</f>
        <v>0.08</v>
      </c>
      <c r="C8" s="5"/>
    </row>
    <row r="9" spans="1:3" x14ac:dyDescent="0.25">
      <c r="A9" s="7" t="s">
        <v>6</v>
      </c>
      <c r="B9" s="10">
        <f>INDEX(Strategies!B9:C9, MATCH($B$1, Strategies!$B$1:$C$1, 0))</f>
        <v>0.18</v>
      </c>
      <c r="C9" s="5"/>
    </row>
    <row r="10" spans="1:3" x14ac:dyDescent="0.25">
      <c r="A10" s="7" t="s">
        <v>7</v>
      </c>
      <c r="B10" s="10">
        <f>INDEX(Strategies!B10:C10, MATCH($B$1, Strategies!$B$1:$C$1, 0))</f>
        <v>0.08</v>
      </c>
      <c r="C10" s="5"/>
    </row>
    <row r="11" spans="1:3" x14ac:dyDescent="0.25">
      <c r="A11" s="8" t="s">
        <v>33</v>
      </c>
      <c r="B11" s="10">
        <f>INDEX(Strategies!B11:C11, MATCH($B$1, Strategies!$B$1:$C$1, 0))</f>
        <v>7.0000000000000007E-2</v>
      </c>
      <c r="C11" s="5"/>
    </row>
    <row r="12" spans="1:3" x14ac:dyDescent="0.25">
      <c r="A12" s="8" t="s">
        <v>34</v>
      </c>
      <c r="B12" s="10">
        <f>INDEX(Strategies!B12:C12, MATCH($B$1, Strategies!$B$1:$C$1, 0))</f>
        <v>4.4999999999999998E-2</v>
      </c>
      <c r="C12" s="5"/>
    </row>
    <row r="13" spans="1:3" x14ac:dyDescent="0.25">
      <c r="A13" s="7" t="s">
        <v>8</v>
      </c>
      <c r="B13" s="10">
        <f>INDEX(Strategies!B13:C13, MATCH($B$1, Strategies!$B$1:$C$1, 0))</f>
        <v>0.2</v>
      </c>
      <c r="C13" s="5"/>
    </row>
    <row r="14" spans="1:3" x14ac:dyDescent="0.25">
      <c r="A14" s="7" t="s">
        <v>31</v>
      </c>
      <c r="B14" s="9">
        <f>INDEX(Strategies!B14:C14, MATCH($B$1, Strategies!$B$1:$C$1, 0))</f>
        <v>200000</v>
      </c>
      <c r="C14" s="5"/>
    </row>
    <row r="15" spans="1:3" x14ac:dyDescent="0.25">
      <c r="A15" s="5"/>
      <c r="B15" s="5"/>
      <c r="C15" s="5"/>
    </row>
  </sheetData>
  <phoneticPr fontId="3" type="noConversion"/>
  <dataValidations count="1">
    <dataValidation type="list" allowBlank="1" showInputMessage="1" showErrorMessage="1" sqref="B1" xr:uid="{B9B67213-CBF1-443F-A9FC-E96F479CCA9B}">
      <formula1>"Conservative,Growth"</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F01DC-7F16-4120-BE0A-CE6F2B0B90E8}">
  <dimension ref="A1:M23"/>
  <sheetViews>
    <sheetView workbookViewId="0">
      <selection activeCell="M9" sqref="M9"/>
    </sheetView>
  </sheetViews>
  <sheetFormatPr defaultRowHeight="15" x14ac:dyDescent="0.25"/>
  <cols>
    <col min="1" max="1" width="18.28515625" style="1" bestFit="1" customWidth="1"/>
    <col min="2" max="11" width="14.42578125" bestFit="1" customWidth="1"/>
    <col min="12" max="12" width="2.85546875" customWidth="1"/>
    <col min="13" max="13" width="12.5703125" bestFit="1" customWidth="1"/>
  </cols>
  <sheetData>
    <row r="1" spans="1:13" x14ac:dyDescent="0.25">
      <c r="A1" s="7" t="s">
        <v>14</v>
      </c>
      <c r="B1" s="7">
        <v>1</v>
      </c>
      <c r="C1" s="7">
        <v>2</v>
      </c>
      <c r="D1" s="7">
        <v>3</v>
      </c>
      <c r="E1" s="7">
        <v>4</v>
      </c>
      <c r="F1" s="7">
        <v>5</v>
      </c>
      <c r="G1" s="7">
        <v>6</v>
      </c>
      <c r="H1" s="7">
        <v>7</v>
      </c>
      <c r="I1" s="7">
        <v>8</v>
      </c>
      <c r="J1" s="7">
        <v>9</v>
      </c>
      <c r="K1" s="7">
        <v>10</v>
      </c>
      <c r="L1" s="5"/>
      <c r="M1" s="1"/>
    </row>
    <row r="2" spans="1:13" x14ac:dyDescent="0.25">
      <c r="A2" s="7" t="s">
        <v>15</v>
      </c>
      <c r="B2" s="12">
        <f>Assumptions!B2</f>
        <v>1000000</v>
      </c>
      <c r="C2" s="12">
        <f>B2*(1+Assumptions!B3)</f>
        <v>1120000</v>
      </c>
      <c r="D2" s="12">
        <f>C2*(1+Assumptions!B4)</f>
        <v>1288000</v>
      </c>
      <c r="E2" s="12">
        <f>D2*(1+Assumptions!B5)</f>
        <v>1519840</v>
      </c>
      <c r="F2" s="12">
        <f>E2*(1+Assumptions!$B$6)</f>
        <v>1899800</v>
      </c>
      <c r="G2" s="12">
        <f>F2*(1+Assumptions!$B$6)</f>
        <v>2374750</v>
      </c>
      <c r="H2" s="12">
        <f>G2*(1+Assumptions!$B$6)</f>
        <v>2968437.5</v>
      </c>
      <c r="I2" s="12">
        <f>H2*(1+Assumptions!$B$6)</f>
        <v>3710546.875</v>
      </c>
      <c r="J2" s="12">
        <f>I2*(1+Assumptions!$B$6)</f>
        <v>4638183.59375</v>
      </c>
      <c r="K2" s="12">
        <f>J2*(1+Assumptions!$B$6)</f>
        <v>5797729.4921875</v>
      </c>
      <c r="L2" s="5"/>
    </row>
    <row r="3" spans="1:13" x14ac:dyDescent="0.25">
      <c r="A3" s="7"/>
      <c r="B3" s="5"/>
      <c r="C3" s="5"/>
      <c r="D3" s="5"/>
      <c r="E3" s="5"/>
      <c r="F3" s="5"/>
      <c r="G3" s="5"/>
      <c r="H3" s="5"/>
      <c r="I3" s="5"/>
      <c r="J3" s="5"/>
      <c r="K3" s="5"/>
      <c r="L3" s="5"/>
    </row>
    <row r="4" spans="1:13" x14ac:dyDescent="0.25">
      <c r="A4" s="7" t="s">
        <v>16</v>
      </c>
      <c r="B4" s="12">
        <f>B2*(1-Assumptions!$B$7)</f>
        <v>600000</v>
      </c>
      <c r="C4" s="12">
        <f>C2*(1-Assumptions!$B$7)</f>
        <v>672000</v>
      </c>
      <c r="D4" s="12">
        <f>D2*(1-Assumptions!$B$7)</f>
        <v>772800</v>
      </c>
      <c r="E4" s="12">
        <f>E2*(1-Assumptions!$B$7)</f>
        <v>911904</v>
      </c>
      <c r="F4" s="12">
        <f>F2*(1-Assumptions!$B$7)</f>
        <v>1139880</v>
      </c>
      <c r="G4" s="12">
        <f>G2*(1-Assumptions!$B$7)</f>
        <v>1424850</v>
      </c>
      <c r="H4" s="12">
        <f>H2*(1-Assumptions!$B$7)</f>
        <v>1781062.5</v>
      </c>
      <c r="I4" s="12">
        <f>I2*(1-Assumptions!$B$7)</f>
        <v>2226328.125</v>
      </c>
      <c r="J4" s="12">
        <f>J2*(1-Assumptions!$B$7)</f>
        <v>2782910.15625</v>
      </c>
      <c r="K4" s="12">
        <f>K2*(1-Assumptions!$B$7)</f>
        <v>3478637.6953125</v>
      </c>
      <c r="L4" s="5"/>
    </row>
    <row r="5" spans="1:13" x14ac:dyDescent="0.25">
      <c r="A5" s="7" t="s">
        <v>17</v>
      </c>
      <c r="B5" s="12">
        <f>B2-B4</f>
        <v>400000</v>
      </c>
      <c r="C5" s="12">
        <f t="shared" ref="C5:F5" si="0">C2-C4</f>
        <v>448000</v>
      </c>
      <c r="D5" s="12">
        <f t="shared" si="0"/>
        <v>515200</v>
      </c>
      <c r="E5" s="12">
        <f t="shared" si="0"/>
        <v>607936</v>
      </c>
      <c r="F5" s="12">
        <f t="shared" si="0"/>
        <v>759920</v>
      </c>
      <c r="G5" s="12">
        <f t="shared" ref="G5" si="1">G2-G4</f>
        <v>949900</v>
      </c>
      <c r="H5" s="12">
        <f t="shared" ref="H5" si="2">H2-H4</f>
        <v>1187375</v>
      </c>
      <c r="I5" s="12">
        <f t="shared" ref="I5" si="3">I2-I4</f>
        <v>1484218.75</v>
      </c>
      <c r="J5" s="12">
        <f t="shared" ref="J5" si="4">J2-J4</f>
        <v>1855273.4375</v>
      </c>
      <c r="K5" s="12">
        <f t="shared" ref="K5" si="5">K2-K4</f>
        <v>2319091.796875</v>
      </c>
      <c r="L5" s="5"/>
    </row>
    <row r="6" spans="1:13" x14ac:dyDescent="0.25">
      <c r="A6" s="7"/>
      <c r="B6" s="5"/>
      <c r="C6" s="5"/>
      <c r="D6" s="5"/>
      <c r="E6" s="5"/>
      <c r="F6" s="5"/>
      <c r="G6" s="5"/>
      <c r="H6" s="5"/>
      <c r="I6" s="5"/>
      <c r="J6" s="5"/>
      <c r="K6" s="5"/>
      <c r="L6" s="5"/>
    </row>
    <row r="7" spans="1:13" x14ac:dyDescent="0.25">
      <c r="A7" s="7" t="s">
        <v>18</v>
      </c>
      <c r="B7" s="12">
        <f>B2*Assumptions!$B$8</f>
        <v>80000</v>
      </c>
      <c r="C7" s="12">
        <f>C2*Assumptions!$B$8</f>
        <v>89600</v>
      </c>
      <c r="D7" s="12">
        <f>D2*Assumptions!$B$8</f>
        <v>103040</v>
      </c>
      <c r="E7" s="12">
        <f>E2*Assumptions!$B$8</f>
        <v>121587.2</v>
      </c>
      <c r="F7" s="12">
        <f>F2*Assumptions!$B$8</f>
        <v>151984</v>
      </c>
      <c r="G7" s="12">
        <f>G2*Assumptions!$B$8</f>
        <v>189980</v>
      </c>
      <c r="H7" s="12">
        <f>H2*Assumptions!$B$8</f>
        <v>237475</v>
      </c>
      <c r="I7" s="12">
        <f>I2*Assumptions!$B$8</f>
        <v>296843.75</v>
      </c>
      <c r="J7" s="12">
        <f>J2*Assumptions!$B$8</f>
        <v>371054.6875</v>
      </c>
      <c r="K7" s="12">
        <f>K2*Assumptions!$B$8</f>
        <v>463818.359375</v>
      </c>
      <c r="L7" s="5"/>
    </row>
    <row r="8" spans="1:13" x14ac:dyDescent="0.25">
      <c r="A8" s="7" t="s">
        <v>19</v>
      </c>
      <c r="B8" s="12">
        <f>B2*Assumptions!$B$9</f>
        <v>180000</v>
      </c>
      <c r="C8" s="12">
        <f>C2*Assumptions!$B$9</f>
        <v>201600</v>
      </c>
      <c r="D8" s="12">
        <f>D2*Assumptions!$B$9</f>
        <v>231840</v>
      </c>
      <c r="E8" s="12">
        <f>E2*Assumptions!$B$9</f>
        <v>273571.20000000001</v>
      </c>
      <c r="F8" s="12">
        <f>F2*Assumptions!$B$9</f>
        <v>341964</v>
      </c>
      <c r="G8" s="12">
        <f>G2*Assumptions!$B$9</f>
        <v>427455</v>
      </c>
      <c r="H8" s="12">
        <f>H2*Assumptions!$B$9</f>
        <v>534318.75</v>
      </c>
      <c r="I8" s="12">
        <f>I2*Assumptions!$B$9</f>
        <v>667898.4375</v>
      </c>
      <c r="J8" s="12">
        <f>J2*Assumptions!$B$9</f>
        <v>834873.046875</v>
      </c>
      <c r="K8" s="12">
        <f>K2*Assumptions!$B$9</f>
        <v>1043591.30859375</v>
      </c>
      <c r="L8" s="5"/>
    </row>
    <row r="9" spans="1:13" x14ac:dyDescent="0.25">
      <c r="A9" s="7" t="s">
        <v>20</v>
      </c>
      <c r="B9" s="12">
        <f>B2*Assumptions!$B$10</f>
        <v>80000</v>
      </c>
      <c r="C9" s="12">
        <f>C2*Assumptions!$B$10</f>
        <v>89600</v>
      </c>
      <c r="D9" s="12">
        <f>D2*Assumptions!$B$10</f>
        <v>103040</v>
      </c>
      <c r="E9" s="12">
        <f>E2*Assumptions!$B$10</f>
        <v>121587.2</v>
      </c>
      <c r="F9" s="12">
        <f>F2*Assumptions!$B$10</f>
        <v>151984</v>
      </c>
      <c r="G9" s="12">
        <f>G2*Assumptions!$B$10</f>
        <v>189980</v>
      </c>
      <c r="H9" s="12">
        <f>H2*Assumptions!$B$10</f>
        <v>237475</v>
      </c>
      <c r="I9" s="12">
        <f>I2*Assumptions!$B$10</f>
        <v>296843.75</v>
      </c>
      <c r="J9" s="12">
        <f>J2*Assumptions!$B$10</f>
        <v>371054.6875</v>
      </c>
      <c r="K9" s="12">
        <f>K2*Assumptions!$B$10</f>
        <v>463818.359375</v>
      </c>
      <c r="L9" s="5"/>
    </row>
    <row r="10" spans="1:13" x14ac:dyDescent="0.25">
      <c r="A10" s="7" t="s">
        <v>21</v>
      </c>
      <c r="B10" s="12">
        <f>SUM(B7:B9)</f>
        <v>340000</v>
      </c>
      <c r="C10" s="12">
        <f t="shared" ref="C10:F10" si="6">SUM(C7:C9)</f>
        <v>380800</v>
      </c>
      <c r="D10" s="12">
        <f t="shared" si="6"/>
        <v>437920</v>
      </c>
      <c r="E10" s="12">
        <f t="shared" si="6"/>
        <v>516745.60000000003</v>
      </c>
      <c r="F10" s="12">
        <f t="shared" si="6"/>
        <v>645932</v>
      </c>
      <c r="G10" s="12">
        <f t="shared" ref="G10" si="7">SUM(G7:G9)</f>
        <v>807415</v>
      </c>
      <c r="H10" s="12">
        <f t="shared" ref="H10" si="8">SUM(H7:H9)</f>
        <v>1009268.75</v>
      </c>
      <c r="I10" s="12">
        <f t="shared" ref="I10" si="9">SUM(I7:I9)</f>
        <v>1261585.9375</v>
      </c>
      <c r="J10" s="12">
        <f t="shared" ref="J10" si="10">SUM(J7:J9)</f>
        <v>1576982.421875</v>
      </c>
      <c r="K10" s="12">
        <f t="shared" ref="K10" si="11">SUM(K7:K9)</f>
        <v>1971228.02734375</v>
      </c>
      <c r="L10" s="5"/>
    </row>
    <row r="11" spans="1:13" x14ac:dyDescent="0.25">
      <c r="A11" s="7" t="s">
        <v>22</v>
      </c>
      <c r="B11" s="12">
        <f>B5-B10</f>
        <v>60000</v>
      </c>
      <c r="C11" s="12">
        <f t="shared" ref="C11:F11" si="12">C5-C10</f>
        <v>67200</v>
      </c>
      <c r="D11" s="12">
        <f t="shared" si="12"/>
        <v>77280</v>
      </c>
      <c r="E11" s="12">
        <f t="shared" si="12"/>
        <v>91190.399999999965</v>
      </c>
      <c r="F11" s="12">
        <f t="shared" si="12"/>
        <v>113988</v>
      </c>
      <c r="G11" s="12">
        <f t="shared" ref="G11" si="13">G5-G10</f>
        <v>142485</v>
      </c>
      <c r="H11" s="12">
        <f t="shared" ref="H11" si="14">H5-H10</f>
        <v>178106.25</v>
      </c>
      <c r="I11" s="12">
        <f t="shared" ref="I11" si="15">I5-I10</f>
        <v>222632.8125</v>
      </c>
      <c r="J11" s="12">
        <f t="shared" ref="J11" si="16">J5-J10</f>
        <v>278291.015625</v>
      </c>
      <c r="K11" s="12">
        <f t="shared" ref="K11" si="17">K5-K10</f>
        <v>347863.76953125</v>
      </c>
      <c r="L11" s="5"/>
    </row>
    <row r="12" spans="1:13" x14ac:dyDescent="0.25">
      <c r="A12" s="7"/>
      <c r="B12" s="5"/>
      <c r="C12" s="5"/>
      <c r="D12" s="5"/>
      <c r="E12" s="5"/>
      <c r="F12" s="5"/>
      <c r="G12" s="5"/>
      <c r="H12" s="5"/>
      <c r="I12" s="5"/>
      <c r="J12" s="5"/>
      <c r="K12" s="5"/>
      <c r="L12" s="5"/>
    </row>
    <row r="13" spans="1:13" x14ac:dyDescent="0.25">
      <c r="A13" s="7" t="s">
        <v>23</v>
      </c>
      <c r="B13" s="12">
        <f>B19*0.2</f>
        <v>14000</v>
      </c>
      <c r="C13" s="12">
        <f t="shared" ref="C13:F13" si="18">C19*0.2</f>
        <v>15680.000000000004</v>
      </c>
      <c r="D13" s="12">
        <f t="shared" si="18"/>
        <v>18032.000000000004</v>
      </c>
      <c r="E13" s="12">
        <f t="shared" si="18"/>
        <v>21277.760000000002</v>
      </c>
      <c r="F13" s="12">
        <f t="shared" si="18"/>
        <v>26597.200000000001</v>
      </c>
      <c r="G13" s="12">
        <f t="shared" ref="G13:K13" si="19">G19*0.2</f>
        <v>21372.75</v>
      </c>
      <c r="H13" s="12">
        <f t="shared" si="19"/>
        <v>26715.9375</v>
      </c>
      <c r="I13" s="12">
        <f t="shared" si="19"/>
        <v>33394.921875</v>
      </c>
      <c r="J13" s="12">
        <f t="shared" si="19"/>
        <v>41743.65234375</v>
      </c>
      <c r="K13" s="12">
        <f t="shared" si="19"/>
        <v>52179.5654296875</v>
      </c>
      <c r="L13" s="5"/>
    </row>
    <row r="14" spans="1:13" x14ac:dyDescent="0.25">
      <c r="A14" s="7" t="s">
        <v>24</v>
      </c>
      <c r="B14" s="12">
        <f>B11-B13</f>
        <v>46000</v>
      </c>
      <c r="C14" s="12">
        <f t="shared" ref="C14:F14" si="20">C11-C13</f>
        <v>51520</v>
      </c>
      <c r="D14" s="12">
        <f t="shared" si="20"/>
        <v>59248</v>
      </c>
      <c r="E14" s="12">
        <f t="shared" si="20"/>
        <v>69912.639999999956</v>
      </c>
      <c r="F14" s="12">
        <f t="shared" si="20"/>
        <v>87390.8</v>
      </c>
      <c r="G14" s="12">
        <f t="shared" ref="G14" si="21">G11-G13</f>
        <v>121112.25</v>
      </c>
      <c r="H14" s="12">
        <f t="shared" ref="H14" si="22">H11-H13</f>
        <v>151390.3125</v>
      </c>
      <c r="I14" s="12">
        <f t="shared" ref="I14" si="23">I11-I13</f>
        <v>189237.890625</v>
      </c>
      <c r="J14" s="12">
        <f t="shared" ref="J14" si="24">J11-J13</f>
        <v>236547.36328125</v>
      </c>
      <c r="K14" s="12">
        <f t="shared" ref="K14" si="25">K11-K13</f>
        <v>295684.2041015625</v>
      </c>
      <c r="L14" s="5"/>
    </row>
    <row r="15" spans="1:13" x14ac:dyDescent="0.25">
      <c r="A15" s="7"/>
      <c r="B15" s="5"/>
      <c r="C15" s="5"/>
      <c r="D15" s="5"/>
      <c r="E15" s="5"/>
      <c r="F15" s="5"/>
      <c r="G15" s="5"/>
      <c r="H15" s="5"/>
      <c r="I15" s="5"/>
      <c r="J15" s="5"/>
      <c r="K15" s="5"/>
      <c r="L15" s="5"/>
    </row>
    <row r="16" spans="1:13" x14ac:dyDescent="0.25">
      <c r="A16" s="7" t="s">
        <v>25</v>
      </c>
      <c r="B16" s="12">
        <f>B14*Assumptions!$B$13</f>
        <v>9200</v>
      </c>
      <c r="C16" s="12">
        <f>C14*Assumptions!$B$13</f>
        <v>10304</v>
      </c>
      <c r="D16" s="12">
        <f>D14*Assumptions!$B$13</f>
        <v>11849.6</v>
      </c>
      <c r="E16" s="12">
        <f>E14*Assumptions!$B$13</f>
        <v>13982.527999999991</v>
      </c>
      <c r="F16" s="12">
        <f>F14*Assumptions!$B$13</f>
        <v>17478.16</v>
      </c>
      <c r="G16" s="12">
        <f>G14*Assumptions!$B$13</f>
        <v>24222.45</v>
      </c>
      <c r="H16" s="12">
        <f>H14*Assumptions!$B$13</f>
        <v>30278.0625</v>
      </c>
      <c r="I16" s="12">
        <f>I14*Assumptions!$B$13</f>
        <v>37847.578125</v>
      </c>
      <c r="J16" s="12">
        <f>J14*Assumptions!$B$13</f>
        <v>47309.47265625</v>
      </c>
      <c r="K16" s="12">
        <f>K14*Assumptions!$B$13</f>
        <v>59136.8408203125</v>
      </c>
      <c r="L16" s="5"/>
    </row>
    <row r="17" spans="1:12" x14ac:dyDescent="0.25">
      <c r="A17" s="7" t="s">
        <v>26</v>
      </c>
      <c r="B17" s="12">
        <f>B14-B16</f>
        <v>36800</v>
      </c>
      <c r="C17" s="12">
        <f t="shared" ref="C17:F17" si="26">C14-C16</f>
        <v>41216</v>
      </c>
      <c r="D17" s="12">
        <f t="shared" si="26"/>
        <v>47398.400000000001</v>
      </c>
      <c r="E17" s="12">
        <f t="shared" si="26"/>
        <v>55930.111999999965</v>
      </c>
      <c r="F17" s="12">
        <f t="shared" si="26"/>
        <v>69912.639999999999</v>
      </c>
      <c r="G17" s="12">
        <f t="shared" ref="G17" si="27">G14-G16</f>
        <v>96889.8</v>
      </c>
      <c r="H17" s="12">
        <f t="shared" ref="H17" si="28">H14-H16</f>
        <v>121112.25</v>
      </c>
      <c r="I17" s="12">
        <f t="shared" ref="I17" si="29">I14-I16</f>
        <v>151390.3125</v>
      </c>
      <c r="J17" s="12">
        <f t="shared" ref="J17" si="30">J14-J16</f>
        <v>189237.890625</v>
      </c>
      <c r="K17" s="12">
        <f t="shared" ref="K17" si="31">K14-K16</f>
        <v>236547.36328125</v>
      </c>
      <c r="L17" s="6"/>
    </row>
    <row r="18" spans="1:12" x14ac:dyDescent="0.25">
      <c r="A18" s="7"/>
      <c r="B18" s="5"/>
      <c r="C18" s="5"/>
      <c r="D18" s="5"/>
      <c r="E18" s="5"/>
      <c r="F18" s="5"/>
      <c r="G18" s="5"/>
      <c r="H18" s="5"/>
      <c r="I18" s="5"/>
      <c r="J18" s="5"/>
      <c r="K18" s="5"/>
      <c r="L18" s="5"/>
    </row>
    <row r="19" spans="1:12" x14ac:dyDescent="0.25">
      <c r="A19" s="7" t="s">
        <v>27</v>
      </c>
      <c r="B19" s="12">
        <f>B2*Assumptions!$B$11</f>
        <v>70000</v>
      </c>
      <c r="C19" s="12">
        <f>C2*Assumptions!$B$11</f>
        <v>78400.000000000015</v>
      </c>
      <c r="D19" s="12">
        <f>D2*Assumptions!$B$11</f>
        <v>90160.000000000015</v>
      </c>
      <c r="E19" s="12">
        <f>E2*Assumptions!$B$11</f>
        <v>106388.8</v>
      </c>
      <c r="F19" s="12">
        <f>F2*Assumptions!$B$11</f>
        <v>132986</v>
      </c>
      <c r="G19" s="12">
        <f>G2*Assumptions!$B$12</f>
        <v>106863.75</v>
      </c>
      <c r="H19" s="12">
        <f>H2*Assumptions!$B$12</f>
        <v>133579.6875</v>
      </c>
      <c r="I19" s="12">
        <f>I2*Assumptions!$B$12</f>
        <v>166974.609375</v>
      </c>
      <c r="J19" s="12">
        <f>J2*Assumptions!$B$12</f>
        <v>208718.26171875</v>
      </c>
      <c r="K19" s="12">
        <f>K2*Assumptions!$B$12</f>
        <v>260897.8271484375</v>
      </c>
      <c r="L19" s="5"/>
    </row>
    <row r="20" spans="1:12" x14ac:dyDescent="0.25">
      <c r="A20" s="7" t="s">
        <v>28</v>
      </c>
      <c r="B20" s="12">
        <f>B17+B13-B19</f>
        <v>-19200</v>
      </c>
      <c r="C20" s="12">
        <f t="shared" ref="C20:F20" si="32">C17+C13-C19</f>
        <v>-21504.000000000015</v>
      </c>
      <c r="D20" s="12">
        <f t="shared" si="32"/>
        <v>-24729.600000000006</v>
      </c>
      <c r="E20" s="12">
        <f t="shared" si="32"/>
        <v>-29180.928000000029</v>
      </c>
      <c r="F20" s="12">
        <f t="shared" si="32"/>
        <v>-36476.160000000003</v>
      </c>
      <c r="G20" s="12">
        <f>G17+G13-G19</f>
        <v>11398.800000000003</v>
      </c>
      <c r="H20" s="12">
        <f>H17+H13-H19</f>
        <v>14248.5</v>
      </c>
      <c r="I20" s="12">
        <f t="shared" ref="I20" si="33">I17+I13-I19</f>
        <v>17810.625</v>
      </c>
      <c r="J20" s="12">
        <f t="shared" ref="J20" si="34">J17+J13-J19</f>
        <v>22263.28125</v>
      </c>
      <c r="K20" s="12">
        <f>K17+K13-K19</f>
        <v>27829.1015625</v>
      </c>
      <c r="L20" s="5"/>
    </row>
    <row r="21" spans="1:12" x14ac:dyDescent="0.25">
      <c r="A21" s="7" t="s">
        <v>29</v>
      </c>
      <c r="B21" s="12">
        <f>Assumptions!B14</f>
        <v>200000</v>
      </c>
      <c r="C21" s="12">
        <f>B22</f>
        <v>180800</v>
      </c>
      <c r="D21" s="12">
        <f t="shared" ref="D21:K21" si="35">C22</f>
        <v>159296</v>
      </c>
      <c r="E21" s="12">
        <f t="shared" si="35"/>
        <v>134566.39999999999</v>
      </c>
      <c r="F21" s="12">
        <f t="shared" si="35"/>
        <v>105385.47199999997</v>
      </c>
      <c r="G21" s="12">
        <f t="shared" si="35"/>
        <v>68909.311999999962</v>
      </c>
      <c r="H21" s="12">
        <f t="shared" si="35"/>
        <v>80308.111999999965</v>
      </c>
      <c r="I21" s="12">
        <f t="shared" si="35"/>
        <v>94556.611999999965</v>
      </c>
      <c r="J21" s="12">
        <f t="shared" si="35"/>
        <v>112367.23699999996</v>
      </c>
      <c r="K21" s="12">
        <f t="shared" si="35"/>
        <v>134630.51824999996</v>
      </c>
      <c r="L21" s="5"/>
    </row>
    <row r="22" spans="1:12" x14ac:dyDescent="0.25">
      <c r="A22" s="7" t="s">
        <v>30</v>
      </c>
      <c r="B22" s="12">
        <f>B20+B21</f>
        <v>180800</v>
      </c>
      <c r="C22" s="12">
        <f t="shared" ref="C22:F22" si="36">C20+C21</f>
        <v>159296</v>
      </c>
      <c r="D22" s="12">
        <f t="shared" si="36"/>
        <v>134566.39999999999</v>
      </c>
      <c r="E22" s="12">
        <f t="shared" si="36"/>
        <v>105385.47199999997</v>
      </c>
      <c r="F22" s="12">
        <f t="shared" si="36"/>
        <v>68909.311999999962</v>
      </c>
      <c r="G22" s="12">
        <f t="shared" ref="G22" si="37">G20+G21</f>
        <v>80308.111999999965</v>
      </c>
      <c r="H22" s="12">
        <f t="shared" ref="H22" si="38">H20+H21</f>
        <v>94556.611999999965</v>
      </c>
      <c r="I22" s="12">
        <f t="shared" ref="I22" si="39">I20+I21</f>
        <v>112367.23699999996</v>
      </c>
      <c r="J22" s="12">
        <f t="shared" ref="J22" si="40">J20+J21</f>
        <v>134630.51824999996</v>
      </c>
      <c r="K22" s="12">
        <f t="shared" ref="K22" si="41">K20+K21</f>
        <v>162459.61981249996</v>
      </c>
      <c r="L22" s="5"/>
    </row>
    <row r="23" spans="1:12" x14ac:dyDescent="0.25">
      <c r="A23" s="4"/>
      <c r="B23" s="5"/>
      <c r="C23" s="5"/>
      <c r="D23" s="5"/>
      <c r="E23" s="5"/>
      <c r="F23" s="5"/>
      <c r="G23" s="5"/>
      <c r="H23" s="5"/>
      <c r="I23" s="5"/>
      <c r="J23" s="5"/>
      <c r="K23" s="5"/>
      <c r="L23"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63F1-4F32-4A97-B671-CDC62A901808}">
  <dimension ref="B1:K7"/>
  <sheetViews>
    <sheetView workbookViewId="0">
      <selection activeCell="C16" sqref="C16"/>
    </sheetView>
  </sheetViews>
  <sheetFormatPr defaultRowHeight="15" x14ac:dyDescent="0.25"/>
  <cols>
    <col min="1" max="1" width="17.5703125" bestFit="1" customWidth="1"/>
    <col min="2" max="11" width="14.42578125" bestFit="1" customWidth="1"/>
  </cols>
  <sheetData>
    <row r="1" spans="2:11" x14ac:dyDescent="0.25">
      <c r="B1" s="1"/>
      <c r="C1" s="1"/>
      <c r="D1" s="1"/>
      <c r="E1" s="1"/>
      <c r="F1" s="1"/>
      <c r="G1" s="1"/>
      <c r="H1" s="1"/>
      <c r="I1" s="1"/>
      <c r="J1" s="1"/>
      <c r="K1" s="1"/>
    </row>
    <row r="2" spans="2:11" x14ac:dyDescent="0.25">
      <c r="B2" s="3"/>
      <c r="C2" s="3"/>
      <c r="D2" s="3"/>
      <c r="E2" s="3"/>
      <c r="F2" s="3"/>
      <c r="G2" s="3"/>
      <c r="H2" s="3"/>
      <c r="I2" s="3"/>
      <c r="J2" s="3"/>
      <c r="K2" s="3"/>
    </row>
    <row r="3" spans="2:11" x14ac:dyDescent="0.25">
      <c r="B3" s="3"/>
      <c r="C3" s="3"/>
      <c r="D3" s="3"/>
      <c r="E3" s="3"/>
      <c r="F3" s="3"/>
      <c r="G3" s="3"/>
      <c r="H3" s="3"/>
      <c r="I3" s="3"/>
      <c r="J3" s="3"/>
      <c r="K3" s="3"/>
    </row>
    <row r="4" spans="2:11" x14ac:dyDescent="0.25">
      <c r="B4" s="2"/>
      <c r="C4" s="2"/>
      <c r="D4" s="2"/>
      <c r="E4" s="2"/>
      <c r="F4" s="2"/>
      <c r="G4" s="2"/>
      <c r="H4" s="2"/>
      <c r="I4" s="2"/>
      <c r="J4" s="2"/>
      <c r="K4" s="2"/>
    </row>
    <row r="5" spans="2:11" x14ac:dyDescent="0.25">
      <c r="B5" s="3"/>
      <c r="C5" s="3"/>
      <c r="D5" s="3"/>
      <c r="E5" s="3"/>
      <c r="F5" s="3"/>
      <c r="G5" s="3"/>
      <c r="H5" s="3"/>
      <c r="I5" s="3"/>
      <c r="J5" s="3"/>
      <c r="K5" s="3"/>
    </row>
    <row r="6" spans="2:11" x14ac:dyDescent="0.25">
      <c r="B6" s="3"/>
      <c r="C6" s="3"/>
      <c r="D6" s="3"/>
      <c r="E6" s="3"/>
      <c r="F6" s="3"/>
      <c r="G6" s="3"/>
      <c r="H6" s="3"/>
      <c r="I6" s="3"/>
      <c r="J6" s="3"/>
      <c r="K6" s="3"/>
    </row>
    <row r="7" spans="2:11" x14ac:dyDescent="0.25">
      <c r="B7" s="3"/>
      <c r="C7" s="3"/>
      <c r="D7" s="3"/>
      <c r="E7" s="3"/>
      <c r="F7" s="3"/>
      <c r="G7" s="3"/>
      <c r="H7" s="3"/>
      <c r="I7" s="3"/>
      <c r="J7" s="3"/>
      <c r="K7"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7997-F10E-4086-8E12-282A29655466}">
  <dimension ref="A1:F36"/>
  <sheetViews>
    <sheetView tabSelected="1" topLeftCell="A14" workbookViewId="0">
      <selection activeCell="E24" sqref="E24"/>
    </sheetView>
  </sheetViews>
  <sheetFormatPr defaultRowHeight="15" x14ac:dyDescent="0.25"/>
  <cols>
    <col min="1" max="1" width="2.42578125" customWidth="1"/>
    <col min="2" max="2" width="73.42578125" customWidth="1"/>
    <col min="3" max="3" width="2.28515625" customWidth="1"/>
    <col min="4" max="4" width="24.42578125" bestFit="1" customWidth="1"/>
    <col min="5" max="5" width="24.5703125" bestFit="1" customWidth="1"/>
    <col min="6" max="6" width="28.42578125" bestFit="1" customWidth="1"/>
  </cols>
  <sheetData>
    <row r="1" spans="1:3" x14ac:dyDescent="0.25">
      <c r="A1" s="5"/>
      <c r="B1" s="8" t="s">
        <v>35</v>
      </c>
      <c r="C1" s="15"/>
    </row>
    <row r="2" spans="1:3" ht="75" x14ac:dyDescent="0.25">
      <c r="A2" s="5"/>
      <c r="B2" s="25" t="s">
        <v>36</v>
      </c>
      <c r="C2" s="5"/>
    </row>
    <row r="3" spans="1:3" ht="45" x14ac:dyDescent="0.25">
      <c r="A3" s="5"/>
      <c r="B3" s="25" t="s">
        <v>37</v>
      </c>
      <c r="C3" s="5"/>
    </row>
    <row r="4" spans="1:3" x14ac:dyDescent="0.25">
      <c r="A4" s="5"/>
      <c r="B4" s="8" t="s">
        <v>38</v>
      </c>
      <c r="C4" s="5"/>
    </row>
    <row r="5" spans="1:3" ht="45" x14ac:dyDescent="0.25">
      <c r="A5" s="5"/>
      <c r="B5" s="25" t="s">
        <v>39</v>
      </c>
      <c r="C5" s="5"/>
    </row>
    <row r="6" spans="1:3" ht="94.5" customHeight="1" x14ac:dyDescent="0.25">
      <c r="A6" s="5"/>
      <c r="B6" s="25" t="s">
        <v>40</v>
      </c>
      <c r="C6" s="5"/>
    </row>
    <row r="7" spans="1:3" x14ac:dyDescent="0.25">
      <c r="A7" s="5"/>
      <c r="B7" s="8" t="s">
        <v>41</v>
      </c>
      <c r="C7" s="5"/>
    </row>
    <row r="8" spans="1:3" x14ac:dyDescent="0.25">
      <c r="A8" s="5"/>
      <c r="B8" s="8" t="s">
        <v>57</v>
      </c>
      <c r="C8" s="5"/>
    </row>
    <row r="9" spans="1:3" s="13" customFormat="1" ht="75" x14ac:dyDescent="0.25">
      <c r="A9" s="14"/>
      <c r="B9" s="25" t="s">
        <v>42</v>
      </c>
      <c r="C9" s="14"/>
    </row>
    <row r="10" spans="1:3" s="13" customFormat="1" ht="90" x14ac:dyDescent="0.25">
      <c r="A10" s="14"/>
      <c r="B10" s="25" t="s">
        <v>43</v>
      </c>
      <c r="C10" s="14"/>
    </row>
    <row r="11" spans="1:3" x14ac:dyDescent="0.25">
      <c r="A11" s="5"/>
      <c r="B11" s="8" t="s">
        <v>58</v>
      </c>
      <c r="C11" s="5"/>
    </row>
    <row r="12" spans="1:3" ht="75" x14ac:dyDescent="0.25">
      <c r="A12" s="5"/>
      <c r="B12" s="25" t="s">
        <v>44</v>
      </c>
      <c r="C12" s="5"/>
    </row>
    <row r="13" spans="1:3" ht="92.25" customHeight="1" x14ac:dyDescent="0.25">
      <c r="A13" s="5"/>
      <c r="B13" s="25" t="s">
        <v>45</v>
      </c>
      <c r="C13" s="5"/>
    </row>
    <row r="14" spans="1:3" x14ac:dyDescent="0.25">
      <c r="A14" s="5"/>
      <c r="B14" s="8" t="s">
        <v>59</v>
      </c>
      <c r="C14" s="5"/>
    </row>
    <row r="15" spans="1:3" ht="30" x14ac:dyDescent="0.25">
      <c r="A15" s="5"/>
      <c r="B15" s="25" t="s">
        <v>60</v>
      </c>
      <c r="C15" s="5"/>
    </row>
    <row r="16" spans="1:3" ht="45.75" thickBot="1" x14ac:dyDescent="0.3">
      <c r="A16" s="5"/>
      <c r="B16" s="25" t="s">
        <v>56</v>
      </c>
      <c r="C16" s="5"/>
    </row>
    <row r="17" spans="1:6" ht="15.75" thickBot="1" x14ac:dyDescent="0.3">
      <c r="A17" s="5"/>
      <c r="B17" s="5"/>
      <c r="C17" s="5"/>
      <c r="D17" s="22" t="s">
        <v>46</v>
      </c>
      <c r="E17" s="23" t="s">
        <v>0</v>
      </c>
      <c r="F17" s="24" t="s">
        <v>2</v>
      </c>
    </row>
    <row r="18" spans="1:6" x14ac:dyDescent="0.25">
      <c r="A18" s="5"/>
      <c r="B18" s="5"/>
      <c r="C18" s="5"/>
      <c r="D18" s="16" t="s">
        <v>47</v>
      </c>
      <c r="E18" s="17" t="s">
        <v>48</v>
      </c>
      <c r="F18" s="18" t="s">
        <v>79</v>
      </c>
    </row>
    <row r="19" spans="1:6" x14ac:dyDescent="0.25">
      <c r="A19" s="5"/>
      <c r="B19" s="5"/>
      <c r="C19" s="5"/>
      <c r="D19" s="16" t="s">
        <v>49</v>
      </c>
      <c r="E19" s="17" t="s">
        <v>50</v>
      </c>
      <c r="F19" s="18" t="s">
        <v>78</v>
      </c>
    </row>
    <row r="20" spans="1:6" x14ac:dyDescent="0.25">
      <c r="A20" s="5"/>
      <c r="B20" s="5"/>
      <c r="C20" s="5"/>
      <c r="D20" s="16" t="s">
        <v>51</v>
      </c>
      <c r="E20" s="17" t="s">
        <v>75</v>
      </c>
      <c r="F20" s="18" t="s">
        <v>77</v>
      </c>
    </row>
    <row r="21" spans="1:6" x14ac:dyDescent="0.25">
      <c r="A21" s="5"/>
      <c r="B21" s="5"/>
      <c r="C21" s="5"/>
      <c r="D21" s="16" t="s">
        <v>52</v>
      </c>
      <c r="E21" s="17" t="s">
        <v>53</v>
      </c>
      <c r="F21" s="18" t="s">
        <v>76</v>
      </c>
    </row>
    <row r="22" spans="1:6" ht="15.75" thickBot="1" x14ac:dyDescent="0.3">
      <c r="A22" s="5"/>
      <c r="B22" s="5"/>
      <c r="C22" s="5"/>
      <c r="D22" s="19" t="s">
        <v>54</v>
      </c>
      <c r="E22" s="20" t="s">
        <v>55</v>
      </c>
      <c r="F22" s="21" t="s">
        <v>74</v>
      </c>
    </row>
    <row r="23" spans="1:6" x14ac:dyDescent="0.25">
      <c r="A23" s="5"/>
      <c r="B23" s="8" t="s">
        <v>61</v>
      </c>
      <c r="C23" s="5"/>
    </row>
    <row r="24" spans="1:6" x14ac:dyDescent="0.25">
      <c r="A24" s="5"/>
      <c r="B24" s="8" t="s">
        <v>70</v>
      </c>
      <c r="C24" s="5"/>
    </row>
    <row r="25" spans="1:6" ht="75" x14ac:dyDescent="0.25">
      <c r="A25" s="5"/>
      <c r="B25" s="25" t="s">
        <v>62</v>
      </c>
      <c r="C25" s="5"/>
    </row>
    <row r="26" spans="1:6" ht="105" x14ac:dyDescent="0.25">
      <c r="A26" s="5"/>
      <c r="B26" s="25" t="s">
        <v>63</v>
      </c>
      <c r="C26" s="5"/>
    </row>
    <row r="27" spans="1:6" x14ac:dyDescent="0.25">
      <c r="A27" s="5"/>
      <c r="B27" s="8" t="s">
        <v>71</v>
      </c>
      <c r="C27" s="5"/>
    </row>
    <row r="28" spans="1:6" ht="90" x14ac:dyDescent="0.25">
      <c r="A28" s="5"/>
      <c r="B28" s="25" t="s">
        <v>64</v>
      </c>
      <c r="C28" s="5"/>
    </row>
    <row r="29" spans="1:6" ht="60" x14ac:dyDescent="0.25">
      <c r="A29" s="5"/>
      <c r="B29" s="25" t="s">
        <v>65</v>
      </c>
      <c r="C29" s="5"/>
    </row>
    <row r="30" spans="1:6" x14ac:dyDescent="0.25">
      <c r="A30" s="5"/>
      <c r="B30" s="8" t="s">
        <v>72</v>
      </c>
      <c r="C30" s="5"/>
    </row>
    <row r="31" spans="1:6" ht="90" x14ac:dyDescent="0.25">
      <c r="A31" s="5"/>
      <c r="B31" s="25" t="s">
        <v>66</v>
      </c>
      <c r="C31" s="5"/>
    </row>
    <row r="32" spans="1:6" ht="105" x14ac:dyDescent="0.25">
      <c r="A32" s="5"/>
      <c r="B32" s="25" t="s">
        <v>67</v>
      </c>
      <c r="C32" s="5"/>
    </row>
    <row r="33" spans="1:3" x14ac:dyDescent="0.25">
      <c r="A33" s="5"/>
      <c r="B33" s="8" t="s">
        <v>73</v>
      </c>
      <c r="C33" s="5"/>
    </row>
    <row r="34" spans="1:3" ht="120" x14ac:dyDescent="0.25">
      <c r="A34" s="5"/>
      <c r="B34" s="25" t="s">
        <v>68</v>
      </c>
      <c r="C34" s="5"/>
    </row>
    <row r="35" spans="1:3" ht="105" x14ac:dyDescent="0.25">
      <c r="A35" s="5"/>
      <c r="B35" s="25" t="s">
        <v>69</v>
      </c>
      <c r="C35" s="5"/>
    </row>
    <row r="36" spans="1:3" x14ac:dyDescent="0.25">
      <c r="A36" s="5"/>
      <c r="B36" s="5"/>
      <c r="C3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Strategies</vt:lpstr>
      <vt:lpstr>Assumptions</vt:lpstr>
      <vt:lpstr>Model</vt:lpstr>
      <vt:lpstr>KPI Dashboard</vt:lpstr>
      <vt:lpstr>Final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Cerqueira Caldas Mounier da Silveira</dc:creator>
  <cp:lastModifiedBy>Tomas Cerqueira Caldas Mounier da Silveira</cp:lastModifiedBy>
  <dcterms:created xsi:type="dcterms:W3CDTF">2026-06-20T10:30:45Z</dcterms:created>
  <dcterms:modified xsi:type="dcterms:W3CDTF">2026-06-20T13:14:30Z</dcterms:modified>
</cp:coreProperties>
</file>